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ev-Framework\config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5" i="1" l="1"/>
  <c r="F4" i="1" l="1"/>
</calcChain>
</file>

<file path=xl/comments1.xml><?xml version="1.0" encoding="utf-8"?>
<comments xmlns="http://schemas.openxmlformats.org/spreadsheetml/2006/main">
  <authors>
    <author>sh0018</author>
  </authors>
  <commentList>
    <comment ref="G1" authorId="0" shapeId="0">
      <text>
        <r>
          <rPr>
            <sz val="11"/>
            <color theme="1"/>
            <rFont val="Tahoma"/>
            <family val="2"/>
          </rPr>
          <t xml:space="preserve">sh0018:
幸运固定值
其他百分比
</t>
        </r>
      </text>
    </comment>
  </commentList>
</comments>
</file>

<file path=xl/sharedStrings.xml><?xml version="1.0" encoding="utf-8"?>
<sst xmlns="http://schemas.openxmlformats.org/spreadsheetml/2006/main" count="221" uniqueCount="167">
  <si>
    <t>BUFF编号</t>
  </si>
  <si>
    <t>BUFF中文名称</t>
  </si>
  <si>
    <t>加成的属性</t>
  </si>
  <si>
    <t>是否叠加层数</t>
  </si>
  <si>
    <t>描述</t>
  </si>
  <si>
    <t>加成强度</t>
  </si>
  <si>
    <t>图标</t>
  </si>
  <si>
    <t>Id</t>
  </si>
  <si>
    <t>isShow</t>
  </si>
  <si>
    <t>ZhName</t>
  </si>
  <si>
    <t>buffName</t>
  </si>
  <si>
    <t>isOver</t>
  </si>
  <si>
    <t>des</t>
  </si>
  <si>
    <t>addPower</t>
  </si>
  <si>
    <t>Icon</t>
  </si>
  <si>
    <t>number</t>
  </si>
  <si>
    <t>string</t>
  </si>
  <si>
    <t>1</t>
  </si>
  <si>
    <t>幸运加成</t>
  </si>
  <si>
    <t>幸运固定值</t>
  </si>
  <si>
    <t>0</t>
  </si>
  <si>
    <t>2</t>
  </si>
  <si>
    <t>108326414755506</t>
  </si>
  <si>
    <t>99531617003166</t>
  </si>
  <si>
    <t>道具编号</t>
  </si>
  <si>
    <t>排序ID</t>
  </si>
  <si>
    <t>道具名称</t>
  </si>
  <si>
    <t>道具中文名称</t>
  </si>
  <si>
    <t>图片ID</t>
  </si>
  <si>
    <t>商品ID</t>
  </si>
  <si>
    <t>价格</t>
  </si>
  <si>
    <t>效果</t>
  </si>
  <si>
    <t>是否可以重复购买</t>
  </si>
  <si>
    <t>资源类型</t>
  </si>
  <si>
    <t>道具加成资源</t>
  </si>
  <si>
    <t>生产速度</t>
  </si>
  <si>
    <t>携带量</t>
  </si>
  <si>
    <t>移速</t>
  </si>
  <si>
    <t>跳跃</t>
  </si>
  <si>
    <t>sord</t>
  </si>
  <si>
    <t>Name</t>
  </si>
  <si>
    <t>PicID</t>
  </si>
  <si>
    <t>purchaseId</t>
  </si>
  <si>
    <t>price</t>
  </si>
  <si>
    <t>effect</t>
  </si>
  <si>
    <t>buyRepeat</t>
  </si>
  <si>
    <t>resType</t>
  </si>
  <si>
    <t>resNumber</t>
  </si>
  <si>
    <t>Speed</t>
  </si>
  <si>
    <t>Carry</t>
  </si>
  <si>
    <t>Move</t>
  </si>
  <si>
    <t>Jump</t>
  </si>
  <si>
    <t>number[]</t>
  </si>
  <si>
    <t>1001</t>
  </si>
  <si>
    <t>10</t>
  </si>
  <si>
    <t>Gold Ore(10)</t>
  </si>
  <si>
    <t>购买普通矿石(小)</t>
  </si>
  <si>
    <t>rbxassetid://9668357539</t>
  </si>
  <si>
    <t>5</t>
  </si>
  <si>
    <t>Gold Ore+10</t>
  </si>
  <si>
    <t>11</t>
  </si>
  <si>
    <t>Gold Ingot(10)</t>
  </si>
  <si>
    <t>购买能量石(小)</t>
  </si>
  <si>
    <t>rbxassetid://9668371209</t>
  </si>
  <si>
    <t>Gold Ingot+10</t>
  </si>
  <si>
    <t>12</t>
  </si>
  <si>
    <t>Ruby(10)</t>
  </si>
  <si>
    <t>购买铁矿石(小)</t>
  </si>
  <si>
    <t>rbxassetid://9668373134</t>
  </si>
  <si>
    <t>15</t>
  </si>
  <si>
    <t>Ruby+10</t>
  </si>
  <si>
    <t>13</t>
  </si>
  <si>
    <t>Gold Ore(30)</t>
  </si>
  <si>
    <t>购买普通矿石(中)</t>
  </si>
  <si>
    <t>1266280751</t>
  </si>
  <si>
    <t>Gold Ore+30</t>
  </si>
  <si>
    <t>30</t>
  </si>
  <si>
    <t>14</t>
  </si>
  <si>
    <t>Gold Ingot(30)</t>
  </si>
  <si>
    <t>购买能量石(中)</t>
  </si>
  <si>
    <t>1266280805</t>
  </si>
  <si>
    <t>20</t>
  </si>
  <si>
    <t>Gold Ingot+30</t>
  </si>
  <si>
    <t>Ruby(30)</t>
  </si>
  <si>
    <t>购买铁矿石(中)</t>
  </si>
  <si>
    <t>1266280807</t>
  </si>
  <si>
    <t>Ruby+30</t>
  </si>
  <si>
    <t>16</t>
  </si>
  <si>
    <t>Gold Ore(100)</t>
  </si>
  <si>
    <t>购买普通矿石(大)</t>
  </si>
  <si>
    <t>1266280803</t>
  </si>
  <si>
    <t>Gold Ore+100</t>
  </si>
  <si>
    <t>100</t>
  </si>
  <si>
    <t>17</t>
  </si>
  <si>
    <t>Gold Ingot(100)</t>
  </si>
  <si>
    <t>购买能量石(大)</t>
  </si>
  <si>
    <t>1266280804</t>
  </si>
  <si>
    <t>40</t>
  </si>
  <si>
    <t>Gold Ingot+100</t>
  </si>
  <si>
    <t>18</t>
  </si>
  <si>
    <t>Ruby(100)</t>
  </si>
  <si>
    <t>购买铁矿石(大)</t>
  </si>
  <si>
    <t>1266280802</t>
  </si>
  <si>
    <t>60</t>
  </si>
  <si>
    <t>Ruby+100</t>
  </si>
  <si>
    <t>19</t>
  </si>
  <si>
    <t>Resource Pack</t>
  </si>
  <si>
    <t>资源箱</t>
  </si>
  <si>
    <t>rbxassetid://9713152535</t>
  </si>
  <si>
    <t>Gold Ore+30|Gold Ingot+30|Ruby+30</t>
  </si>
  <si>
    <t>1001|1002|1004</t>
  </si>
  <si>
    <t>30|30|30</t>
  </si>
  <si>
    <t>Rocket Shoes</t>
  </si>
  <si>
    <t>火箭鞋</t>
  </si>
  <si>
    <t>rbxassetid://9711877618</t>
  </si>
  <si>
    <t>149</t>
  </si>
  <si>
    <t>+50% move Speed|+5 backpack capacity</t>
  </si>
  <si>
    <t>1006</t>
  </si>
  <si>
    <t>Rocket Backpack</t>
  </si>
  <si>
    <t>充气背包</t>
  </si>
  <si>
    <t>rbxassetid://9711877016</t>
  </si>
  <si>
    <t>45354103</t>
  </si>
  <si>
    <t>199</t>
  </si>
  <si>
    <t>+100% jump height|+5 backpack capacity</t>
  </si>
  <si>
    <t>3</t>
  </si>
  <si>
    <t>Energy Armor</t>
  </si>
  <si>
    <t>能量腰带</t>
  </si>
  <si>
    <t>rbxassetid://9711877964</t>
  </si>
  <si>
    <t>45354129</t>
  </si>
  <si>
    <t>299</t>
  </si>
  <si>
    <t>+20 backpack capacity</t>
  </si>
  <si>
    <t>1008</t>
  </si>
  <si>
    <t>4</t>
  </si>
  <si>
    <t>Muscle noob</t>
  </si>
  <si>
    <t>肌肉noob-A</t>
  </si>
  <si>
    <t>rbxassetid://9713154486</t>
  </si>
  <si>
    <t>49</t>
  </si>
  <si>
    <t>work harder</t>
  </si>
  <si>
    <t>肌肉noob-B</t>
  </si>
  <si>
    <t>99</t>
  </si>
  <si>
    <t>6</t>
  </si>
  <si>
    <t>Feeding Robot</t>
  </si>
  <si>
    <t>工作机器人</t>
  </si>
  <si>
    <t>rbxassetid://9713153893</t>
  </si>
  <si>
    <t>46727326</t>
  </si>
  <si>
    <t>Automatically feed Noob</t>
  </si>
  <si>
    <t>7</t>
  </si>
  <si>
    <t>BB-2</t>
  </si>
  <si>
    <t>宠物机器人</t>
  </si>
  <si>
    <t>rbxassetid://9711876499</t>
  </si>
  <si>
    <t>46571028</t>
  </si>
  <si>
    <t>Machine working speed +30%</t>
  </si>
  <si>
    <t>8</t>
  </si>
  <si>
    <t>Banana</t>
  </si>
  <si>
    <t>付费植物香蕉</t>
  </si>
  <si>
    <t>rbxassetid://9713155623</t>
  </si>
  <si>
    <t>46727345</t>
  </si>
  <si>
    <t>extra food for noob</t>
  </si>
  <si>
    <t>9</t>
  </si>
  <si>
    <t>Watermelon</t>
  </si>
  <si>
    <t>付费植物西瓜</t>
  </si>
  <si>
    <t>rbxassetid://9713154988</t>
  </si>
  <si>
    <t>46727361</t>
  </si>
  <si>
    <t>超级幸运加成</t>
    <phoneticPr fontId="9" type="noConversion"/>
  </si>
  <si>
    <t>0</t>
    <phoneticPr fontId="9" type="noConversion"/>
  </si>
  <si>
    <t>30</t>
    <phoneticPr fontId="9" type="noConversion"/>
  </si>
  <si>
    <t>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</si>
</sst>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Tahoma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i/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Microsoft YaHei Light"/>
      <charset val="134"/>
    </font>
    <font>
      <sz val="12"/>
      <color theme="1"/>
      <name val="宋体"/>
      <charset val="134"/>
      <scheme val="minor"/>
    </font>
    <font>
      <sz val="9"/>
      <name val="Tahoma"/>
      <family val="2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0" fontId="8" fillId="0" borderId="0">
      <alignment vertical="center"/>
    </xf>
    <xf numFmtId="0" fontId="6" fillId="0" borderId="0">
      <alignment vertical="center"/>
    </xf>
    <xf numFmtId="0" fontId="5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2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3" applyNumberForma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0" fillId="0" borderId="0" xfId="0" applyNumberForma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quotePrefix="1" applyAlignment="1">
      <alignment horizontal="left"/>
    </xf>
    <xf numFmtId="0" fontId="11" fillId="0" borderId="0" xfId="0" applyFont="1" applyAlignment="1">
      <alignment vertical="center"/>
    </xf>
  </cellXfs>
  <cellStyles count="4">
    <cellStyle name="常规" xfId="0" builtinId="0"/>
    <cellStyle name="常规 2" xfId="1"/>
    <cellStyle name="常规 3" xfId="2"/>
    <cellStyle name="常规 4" xfId="3"/>
  </cellStyles>
  <dxfs count="2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4"/>
  <sheetViews>
    <sheetView tabSelected="1" zoomScale="130" zoomScaleNormal="130" workbookViewId="0">
      <selection activeCell="G6" sqref="G6"/>
    </sheetView>
  </sheetViews>
  <sheetFormatPr defaultColWidth="9" defaultRowHeight="13.8"/>
  <cols>
    <col min="1" max="2" width="13.8984375" style="10" customWidth="1"/>
    <col min="3" max="5" width="21.3984375" style="10" customWidth="1"/>
    <col min="6" max="6" width="42.19921875" style="10" customWidth="1"/>
    <col min="7" max="7" width="21.3984375" style="10" customWidth="1"/>
    <col min="8" max="8" width="17.69921875" style="10" customWidth="1"/>
    <col min="9" max="9" width="17.09765625" style="10" customWidth="1"/>
    <col min="10" max="10" width="9" style="10" customWidth="1"/>
    <col min="11" max="16384" width="9" style="10"/>
  </cols>
  <sheetData>
    <row r="1" spans="1:21" ht="15.6" customHeight="1">
      <c r="A1" s="11" t="s">
        <v>0</v>
      </c>
      <c r="B1" s="11"/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6" customHeight="1">
      <c r="A2" s="1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6" customHeight="1">
      <c r="A3" s="11" t="s">
        <v>15</v>
      </c>
      <c r="B3" s="11" t="s">
        <v>15</v>
      </c>
      <c r="C3" s="11" t="s">
        <v>16</v>
      </c>
      <c r="D3" s="11" t="s">
        <v>16</v>
      </c>
      <c r="E3" s="11" t="s">
        <v>15</v>
      </c>
      <c r="F3" s="11" t="s">
        <v>16</v>
      </c>
      <c r="G3" s="11" t="s">
        <v>15</v>
      </c>
      <c r="H3" s="11" t="s">
        <v>15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6" customHeight="1">
      <c r="A4" s="12">
        <v>101</v>
      </c>
      <c r="B4" s="11" t="s">
        <v>17</v>
      </c>
      <c r="C4" s="13" t="s">
        <v>18</v>
      </c>
      <c r="D4" s="11" t="s">
        <v>19</v>
      </c>
      <c r="E4" s="11" t="s">
        <v>20</v>
      </c>
      <c r="F4" s="13" t="str">
        <f>CONCATENATE(C4,"描述")</f>
        <v>幸运加成描述</v>
      </c>
      <c r="G4" s="11" t="s">
        <v>165</v>
      </c>
      <c r="H4" s="16" t="s">
        <v>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6" customHeight="1">
      <c r="A5" s="12">
        <v>102</v>
      </c>
      <c r="B5" s="11" t="s">
        <v>17</v>
      </c>
      <c r="C5" s="17" t="s">
        <v>163</v>
      </c>
      <c r="D5" s="11" t="s">
        <v>19</v>
      </c>
      <c r="E5" s="11" t="s">
        <v>164</v>
      </c>
      <c r="F5" s="13" t="str">
        <f>CONCATENATE(C5,"描述")</f>
        <v>超级幸运加成描述</v>
      </c>
      <c r="G5" s="11" t="s">
        <v>166</v>
      </c>
      <c r="H5" s="16" t="s">
        <v>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6" customHeight="1">
      <c r="A6" s="12"/>
      <c r="B6" s="11"/>
      <c r="C6" s="13"/>
      <c r="D6" s="11"/>
      <c r="E6" s="11"/>
      <c r="F6" s="13"/>
      <c r="G6" s="11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6" customHeight="1">
      <c r="A7" s="12"/>
      <c r="B7" s="11"/>
      <c r="C7" s="13"/>
      <c r="D7" s="11"/>
      <c r="E7" s="11"/>
      <c r="F7" s="13"/>
      <c r="G7" s="11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4.4" customHeight="1">
      <c r="A8" s="15"/>
      <c r="B8" s="15"/>
      <c r="C8" s="15"/>
      <c r="D8" s="15"/>
      <c r="E8" s="15"/>
      <c r="F8" s="15"/>
      <c r="G8" s="15"/>
      <c r="H8" s="1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4.4" customHeight="1">
      <c r="A9" s="15"/>
      <c r="B9" s="15"/>
      <c r="C9" s="15"/>
      <c r="D9" s="15"/>
      <c r="E9" s="15"/>
      <c r="F9" s="15"/>
      <c r="G9" s="15"/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4.4" customHeight="1">
      <c r="A10" s="15"/>
      <c r="B10" s="15"/>
      <c r="C10" s="15"/>
      <c r="D10" s="15"/>
      <c r="E10" s="15"/>
      <c r="F10" s="15"/>
      <c r="G10" s="15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4.4" customHeight="1">
      <c r="A11" s="15"/>
      <c r="B11" s="15"/>
      <c r="C11" s="15"/>
      <c r="D11" s="15"/>
      <c r="E11" s="15"/>
      <c r="F11" s="15"/>
      <c r="G11" s="15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4.4" customHeight="1">
      <c r="A12" s="15"/>
      <c r="B12" s="15"/>
      <c r="C12" s="15"/>
      <c r="D12" s="15"/>
      <c r="E12" s="15"/>
      <c r="F12" s="15"/>
      <c r="G12" s="15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4.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4.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4.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4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4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4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4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4.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4.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4.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4.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4.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</sheetData>
  <phoneticPr fontId="9" type="noConversion"/>
  <conditionalFormatting sqref="A1:XFD1048576">
    <cfRule type="expression" dxfId="1" priority="1">
      <formula>AND(CELL("row")=ROW(),CELL("col")=COLUMN())</formula>
    </cfRule>
    <cfRule type="expression" dxfId="0" priority="2">
      <formula>CELL("row")=ROW()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zoomScale="130" zoomScaleNormal="130" workbookViewId="0">
      <selection activeCell="B28" sqref="B28"/>
    </sheetView>
  </sheetViews>
  <sheetFormatPr defaultColWidth="9" defaultRowHeight="13.8"/>
  <sheetData>
    <row r="1" spans="1:15" ht="16.2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2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3" t="s">
        <v>35</v>
      </c>
      <c r="M1" s="1" t="s">
        <v>36</v>
      </c>
      <c r="N1" s="1" t="s">
        <v>37</v>
      </c>
      <c r="O1" s="1" t="s">
        <v>38</v>
      </c>
    </row>
    <row r="2" spans="1:15" ht="16.2" customHeight="1">
      <c r="A2" s="4" t="s">
        <v>7</v>
      </c>
      <c r="B2" s="4" t="s">
        <v>39</v>
      </c>
      <c r="C2" s="4" t="s">
        <v>40</v>
      </c>
      <c r="D2" s="4" t="s">
        <v>9</v>
      </c>
      <c r="E2" s="4" t="s">
        <v>41</v>
      </c>
      <c r="F2" s="2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5" t="s">
        <v>48</v>
      </c>
      <c r="M2" s="4" t="s">
        <v>49</v>
      </c>
      <c r="N2" s="4" t="s">
        <v>50</v>
      </c>
      <c r="O2" s="4" t="s">
        <v>51</v>
      </c>
    </row>
    <row r="3" spans="1:15" ht="15.6" customHeight="1">
      <c r="A3" s="4" t="s">
        <v>15</v>
      </c>
      <c r="B3" s="4" t="s">
        <v>15</v>
      </c>
      <c r="C3" s="4" t="s">
        <v>16</v>
      </c>
      <c r="D3" s="4" t="s">
        <v>16</v>
      </c>
      <c r="E3" s="4" t="s">
        <v>16</v>
      </c>
      <c r="F3" s="6" t="s">
        <v>15</v>
      </c>
      <c r="G3" s="4" t="s">
        <v>15</v>
      </c>
      <c r="H3" s="4" t="s">
        <v>16</v>
      </c>
      <c r="I3" s="4" t="s">
        <v>15</v>
      </c>
      <c r="J3" s="4" t="s">
        <v>52</v>
      </c>
      <c r="K3" s="4" t="s">
        <v>52</v>
      </c>
      <c r="L3" s="4" t="s">
        <v>15</v>
      </c>
      <c r="M3" s="4" t="s">
        <v>15</v>
      </c>
      <c r="N3" s="4" t="s">
        <v>15</v>
      </c>
      <c r="O3" s="4" t="s">
        <v>15</v>
      </c>
    </row>
    <row r="4" spans="1:15" ht="17.399999999999999" customHeight="1">
      <c r="A4" s="7" t="s">
        <v>53</v>
      </c>
      <c r="B4" s="7" t="s">
        <v>54</v>
      </c>
      <c r="C4" s="1" t="s">
        <v>55</v>
      </c>
      <c r="D4" s="1" t="s">
        <v>56</v>
      </c>
      <c r="E4" s="1" t="s">
        <v>57</v>
      </c>
      <c r="F4" s="1">
        <v>1264797543</v>
      </c>
      <c r="G4" s="4" t="s">
        <v>58</v>
      </c>
      <c r="H4" s="1" t="s">
        <v>59</v>
      </c>
      <c r="I4" s="4">
        <v>1</v>
      </c>
      <c r="J4" s="4">
        <v>1001</v>
      </c>
      <c r="K4" s="4" t="s">
        <v>54</v>
      </c>
      <c r="L4" s="4">
        <v>0</v>
      </c>
      <c r="M4" s="4">
        <v>0</v>
      </c>
      <c r="N4" s="4">
        <v>0</v>
      </c>
      <c r="O4" s="4">
        <v>0</v>
      </c>
    </row>
    <row r="5" spans="1:15" ht="17.399999999999999" customHeight="1">
      <c r="A5" s="7">
        <v>1002</v>
      </c>
      <c r="B5" s="7" t="s">
        <v>60</v>
      </c>
      <c r="C5" s="1" t="s">
        <v>61</v>
      </c>
      <c r="D5" s="1" t="s">
        <v>62</v>
      </c>
      <c r="E5" s="1" t="s">
        <v>63</v>
      </c>
      <c r="F5" s="1">
        <v>1264810357</v>
      </c>
      <c r="G5" s="4" t="s">
        <v>54</v>
      </c>
      <c r="H5" s="1" t="s">
        <v>64</v>
      </c>
      <c r="I5" s="4">
        <v>1</v>
      </c>
      <c r="J5" s="4">
        <v>1002</v>
      </c>
      <c r="K5" s="4" t="s">
        <v>54</v>
      </c>
      <c r="L5" s="4">
        <v>0</v>
      </c>
      <c r="M5" s="4">
        <v>0</v>
      </c>
      <c r="N5" s="4">
        <v>0</v>
      </c>
      <c r="O5" s="4">
        <v>0</v>
      </c>
    </row>
    <row r="6" spans="1:15" ht="17.399999999999999" customHeight="1">
      <c r="A6" s="7">
        <v>1003</v>
      </c>
      <c r="B6" s="7" t="s">
        <v>65</v>
      </c>
      <c r="C6" s="1" t="s">
        <v>66</v>
      </c>
      <c r="D6" s="1" t="s">
        <v>67</v>
      </c>
      <c r="E6" s="1" t="s">
        <v>68</v>
      </c>
      <c r="F6" s="1">
        <v>1264810376</v>
      </c>
      <c r="G6" s="4" t="s">
        <v>69</v>
      </c>
      <c r="H6" s="1" t="s">
        <v>70</v>
      </c>
      <c r="I6" s="4">
        <v>1</v>
      </c>
      <c r="J6" s="4">
        <v>1004</v>
      </c>
      <c r="K6" s="4" t="s">
        <v>54</v>
      </c>
      <c r="L6" s="4">
        <v>0</v>
      </c>
      <c r="M6" s="4">
        <v>0</v>
      </c>
      <c r="N6" s="4">
        <v>0</v>
      </c>
      <c r="O6" s="4">
        <v>0</v>
      </c>
    </row>
    <row r="7" spans="1:15" ht="17.399999999999999" customHeight="1">
      <c r="A7" s="7">
        <v>1015</v>
      </c>
      <c r="B7" s="7" t="s">
        <v>71</v>
      </c>
      <c r="C7" s="1" t="s">
        <v>72</v>
      </c>
      <c r="D7" s="1" t="s">
        <v>73</v>
      </c>
      <c r="E7" s="8" t="s">
        <v>57</v>
      </c>
      <c r="F7" s="1" t="s">
        <v>74</v>
      </c>
      <c r="G7" s="4" t="s">
        <v>54</v>
      </c>
      <c r="H7" s="1" t="s">
        <v>75</v>
      </c>
      <c r="I7" s="4">
        <v>1</v>
      </c>
      <c r="J7" s="4">
        <v>1001</v>
      </c>
      <c r="K7" s="4" t="s">
        <v>76</v>
      </c>
      <c r="L7" s="4">
        <v>0</v>
      </c>
      <c r="M7" s="4">
        <v>0</v>
      </c>
      <c r="N7" s="4">
        <v>0</v>
      </c>
      <c r="O7" s="4">
        <v>0</v>
      </c>
    </row>
    <row r="8" spans="1:15" ht="17.399999999999999" customHeight="1">
      <c r="A8" s="7">
        <v>1016</v>
      </c>
      <c r="B8" s="7" t="s">
        <v>77</v>
      </c>
      <c r="C8" s="1" t="s">
        <v>78</v>
      </c>
      <c r="D8" s="1" t="s">
        <v>79</v>
      </c>
      <c r="E8" s="8" t="s">
        <v>63</v>
      </c>
      <c r="F8" s="1" t="s">
        <v>80</v>
      </c>
      <c r="G8" s="4" t="s">
        <v>81</v>
      </c>
      <c r="H8" s="1" t="s">
        <v>82</v>
      </c>
      <c r="I8" s="4">
        <v>1</v>
      </c>
      <c r="J8" s="4">
        <v>1002</v>
      </c>
      <c r="K8" s="4" t="s">
        <v>76</v>
      </c>
      <c r="L8" s="4">
        <v>0</v>
      </c>
      <c r="M8" s="4">
        <v>0</v>
      </c>
      <c r="N8" s="4">
        <v>0</v>
      </c>
      <c r="O8" s="4">
        <v>0</v>
      </c>
    </row>
    <row r="9" spans="1:15" ht="17.399999999999999" customHeight="1">
      <c r="A9" s="7">
        <v>1017</v>
      </c>
      <c r="B9" s="7" t="s">
        <v>69</v>
      </c>
      <c r="C9" s="1" t="s">
        <v>83</v>
      </c>
      <c r="D9" s="1" t="s">
        <v>84</v>
      </c>
      <c r="E9" s="8" t="s">
        <v>68</v>
      </c>
      <c r="F9" s="1" t="s">
        <v>85</v>
      </c>
      <c r="G9" s="4" t="s">
        <v>76</v>
      </c>
      <c r="H9" s="1" t="s">
        <v>86</v>
      </c>
      <c r="I9" s="4">
        <v>1</v>
      </c>
      <c r="J9" s="4">
        <v>1004</v>
      </c>
      <c r="K9" s="4" t="s">
        <v>76</v>
      </c>
      <c r="L9" s="4">
        <v>0</v>
      </c>
      <c r="M9" s="4">
        <v>0</v>
      </c>
      <c r="N9" s="4">
        <v>0</v>
      </c>
      <c r="O9" s="4">
        <v>0</v>
      </c>
    </row>
    <row r="10" spans="1:15" ht="17.399999999999999" customHeight="1">
      <c r="A10" s="7">
        <v>1018</v>
      </c>
      <c r="B10" s="7" t="s">
        <v>87</v>
      </c>
      <c r="C10" s="1" t="s">
        <v>88</v>
      </c>
      <c r="D10" s="1" t="s">
        <v>89</v>
      </c>
      <c r="E10" s="8" t="s">
        <v>57</v>
      </c>
      <c r="F10" s="1" t="s">
        <v>90</v>
      </c>
      <c r="G10" s="4" t="s">
        <v>81</v>
      </c>
      <c r="H10" s="1" t="s">
        <v>91</v>
      </c>
      <c r="I10" s="4">
        <v>1</v>
      </c>
      <c r="J10" s="4">
        <v>1001</v>
      </c>
      <c r="K10" s="4" t="s">
        <v>92</v>
      </c>
      <c r="L10" s="4">
        <v>0</v>
      </c>
      <c r="M10" s="4">
        <v>0</v>
      </c>
      <c r="N10" s="4">
        <v>0</v>
      </c>
      <c r="O10" s="4">
        <v>0</v>
      </c>
    </row>
    <row r="11" spans="1:15" ht="17.399999999999999" customHeight="1">
      <c r="A11" s="7">
        <v>1019</v>
      </c>
      <c r="B11" s="7" t="s">
        <v>93</v>
      </c>
      <c r="C11" s="1" t="s">
        <v>94</v>
      </c>
      <c r="D11" s="1" t="s">
        <v>95</v>
      </c>
      <c r="E11" s="8" t="s">
        <v>63</v>
      </c>
      <c r="F11" s="1" t="s">
        <v>96</v>
      </c>
      <c r="G11" s="4" t="s">
        <v>97</v>
      </c>
      <c r="H11" s="1" t="s">
        <v>98</v>
      </c>
      <c r="I11" s="4">
        <v>1</v>
      </c>
      <c r="J11" s="4">
        <v>1002</v>
      </c>
      <c r="K11" s="4" t="s">
        <v>92</v>
      </c>
      <c r="L11" s="4">
        <v>0</v>
      </c>
      <c r="M11" s="4">
        <v>0</v>
      </c>
      <c r="N11" s="4">
        <v>0</v>
      </c>
      <c r="O11" s="4">
        <v>0</v>
      </c>
    </row>
    <row r="12" spans="1:15" ht="17.399999999999999" customHeight="1">
      <c r="A12" s="7">
        <v>1020</v>
      </c>
      <c r="B12" s="7" t="s">
        <v>99</v>
      </c>
      <c r="C12" s="1" t="s">
        <v>100</v>
      </c>
      <c r="D12" s="1" t="s">
        <v>101</v>
      </c>
      <c r="E12" s="8" t="s">
        <v>68</v>
      </c>
      <c r="F12" s="1" t="s">
        <v>102</v>
      </c>
      <c r="G12" s="4" t="s">
        <v>103</v>
      </c>
      <c r="H12" s="1" t="s">
        <v>104</v>
      </c>
      <c r="I12" s="4">
        <v>1</v>
      </c>
      <c r="J12" s="4">
        <v>1004</v>
      </c>
      <c r="K12" s="4" t="s">
        <v>92</v>
      </c>
      <c r="L12" s="4">
        <v>0</v>
      </c>
      <c r="M12" s="4">
        <v>0</v>
      </c>
      <c r="N12" s="4">
        <v>0</v>
      </c>
      <c r="O12" s="4">
        <v>0</v>
      </c>
    </row>
    <row r="13" spans="1:15" ht="17.399999999999999" customHeight="1">
      <c r="A13" s="7">
        <v>1004</v>
      </c>
      <c r="B13" s="7" t="s">
        <v>105</v>
      </c>
      <c r="C13" s="1" t="s">
        <v>106</v>
      </c>
      <c r="D13" s="1" t="s">
        <v>107</v>
      </c>
      <c r="E13" s="1" t="s">
        <v>108</v>
      </c>
      <c r="F13" s="1">
        <v>1264810395</v>
      </c>
      <c r="G13" s="4" t="s">
        <v>97</v>
      </c>
      <c r="H13" s="1" t="s">
        <v>109</v>
      </c>
      <c r="I13" s="4">
        <v>1</v>
      </c>
      <c r="J13" s="4" t="s">
        <v>110</v>
      </c>
      <c r="K13" s="4" t="s">
        <v>111</v>
      </c>
      <c r="L13" s="4">
        <v>0</v>
      </c>
      <c r="M13" s="4">
        <v>0</v>
      </c>
      <c r="N13" s="4">
        <v>0</v>
      </c>
      <c r="O13" s="4">
        <v>0</v>
      </c>
    </row>
    <row r="14" spans="1:15" ht="17.399999999999999" customHeight="1">
      <c r="A14" s="7">
        <v>1005</v>
      </c>
      <c r="B14" s="7" t="s">
        <v>17</v>
      </c>
      <c r="C14" s="1" t="s">
        <v>112</v>
      </c>
      <c r="D14" s="1" t="s">
        <v>113</v>
      </c>
      <c r="E14" s="1" t="s">
        <v>114</v>
      </c>
      <c r="F14" s="1">
        <v>45354061</v>
      </c>
      <c r="G14" s="4" t="s">
        <v>115</v>
      </c>
      <c r="H14" s="1" t="s">
        <v>116</v>
      </c>
      <c r="I14" s="4">
        <v>0</v>
      </c>
      <c r="J14" s="4">
        <v>0</v>
      </c>
      <c r="K14" s="4">
        <v>0</v>
      </c>
      <c r="L14" s="4">
        <v>0</v>
      </c>
      <c r="M14" s="4">
        <v>5</v>
      </c>
      <c r="N14" s="4">
        <v>50</v>
      </c>
      <c r="O14" s="4">
        <v>0</v>
      </c>
    </row>
    <row r="15" spans="1:15" ht="17.399999999999999" customHeight="1">
      <c r="A15" s="7" t="s">
        <v>117</v>
      </c>
      <c r="B15" s="7" t="s">
        <v>21</v>
      </c>
      <c r="C15" s="1" t="s">
        <v>118</v>
      </c>
      <c r="D15" s="1" t="s">
        <v>119</v>
      </c>
      <c r="E15" s="1" t="s">
        <v>120</v>
      </c>
      <c r="F15" s="1" t="s">
        <v>121</v>
      </c>
      <c r="G15" s="4" t="s">
        <v>122</v>
      </c>
      <c r="H15" s="1" t="s">
        <v>123</v>
      </c>
      <c r="I15" s="4">
        <v>0</v>
      </c>
      <c r="J15" s="4">
        <v>0</v>
      </c>
      <c r="K15" s="4">
        <v>0</v>
      </c>
      <c r="L15" s="4">
        <v>0</v>
      </c>
      <c r="M15" s="4">
        <v>5</v>
      </c>
      <c r="N15" s="4">
        <v>0</v>
      </c>
      <c r="O15" s="4">
        <v>100</v>
      </c>
    </row>
    <row r="16" spans="1:15" ht="17.399999999999999" customHeight="1">
      <c r="A16" s="7">
        <v>1007</v>
      </c>
      <c r="B16" s="7" t="s">
        <v>124</v>
      </c>
      <c r="C16" s="8" t="s">
        <v>125</v>
      </c>
      <c r="D16" s="8" t="s">
        <v>126</v>
      </c>
      <c r="E16" s="8" t="s">
        <v>127</v>
      </c>
      <c r="F16" s="8" t="s">
        <v>128</v>
      </c>
      <c r="G16" s="4" t="s">
        <v>129</v>
      </c>
      <c r="H16" s="9" t="s">
        <v>130</v>
      </c>
      <c r="I16" s="4">
        <v>0</v>
      </c>
      <c r="J16" s="4">
        <v>0</v>
      </c>
      <c r="K16" s="4">
        <v>0</v>
      </c>
      <c r="L16" s="4">
        <v>0</v>
      </c>
      <c r="M16" s="4">
        <v>20</v>
      </c>
      <c r="N16" s="4">
        <v>0</v>
      </c>
      <c r="O16" s="4">
        <v>0</v>
      </c>
    </row>
    <row r="17" spans="1:15" ht="17.399999999999999" customHeight="1">
      <c r="A17" s="7" t="s">
        <v>131</v>
      </c>
      <c r="B17" s="7" t="s">
        <v>132</v>
      </c>
      <c r="C17" s="8" t="s">
        <v>133</v>
      </c>
      <c r="D17" s="8" t="s">
        <v>134</v>
      </c>
      <c r="E17" s="8" t="s">
        <v>135</v>
      </c>
      <c r="F17" s="8">
        <v>45365459</v>
      </c>
      <c r="G17" s="4" t="s">
        <v>136</v>
      </c>
      <c r="H17" s="8" t="s">
        <v>137</v>
      </c>
      <c r="I17" s="4">
        <v>0</v>
      </c>
      <c r="J17" s="4">
        <v>0</v>
      </c>
      <c r="K17" s="4">
        <v>0</v>
      </c>
      <c r="L17" s="4">
        <v>2000</v>
      </c>
      <c r="M17" s="4">
        <v>0</v>
      </c>
      <c r="N17" s="4">
        <v>0</v>
      </c>
      <c r="O17" s="4">
        <v>0</v>
      </c>
    </row>
    <row r="18" spans="1:15" ht="17.399999999999999" customHeight="1">
      <c r="A18" s="7">
        <v>1009</v>
      </c>
      <c r="B18" s="7" t="s">
        <v>58</v>
      </c>
      <c r="C18" s="8" t="s">
        <v>133</v>
      </c>
      <c r="D18" s="8" t="s">
        <v>138</v>
      </c>
      <c r="E18" s="8" t="s">
        <v>135</v>
      </c>
      <c r="F18" s="8">
        <v>45365434</v>
      </c>
      <c r="G18" s="4" t="s">
        <v>139</v>
      </c>
      <c r="H18" s="8" t="s">
        <v>137</v>
      </c>
      <c r="I18" s="4">
        <v>0</v>
      </c>
      <c r="J18" s="4">
        <v>0</v>
      </c>
      <c r="K18" s="4">
        <v>0</v>
      </c>
      <c r="L18" s="4">
        <v>2000</v>
      </c>
      <c r="M18" s="4">
        <v>0</v>
      </c>
      <c r="N18" s="4">
        <v>0</v>
      </c>
      <c r="O18" s="4">
        <v>0</v>
      </c>
    </row>
    <row r="19" spans="1:15" ht="17.399999999999999" customHeight="1">
      <c r="A19" s="7">
        <v>1011</v>
      </c>
      <c r="B19" s="7" t="s">
        <v>140</v>
      </c>
      <c r="C19" s="8" t="s">
        <v>141</v>
      </c>
      <c r="D19" s="8" t="s">
        <v>142</v>
      </c>
      <c r="E19" s="8" t="s">
        <v>143</v>
      </c>
      <c r="F19" s="8" t="s">
        <v>144</v>
      </c>
      <c r="G19" s="4" t="s">
        <v>139</v>
      </c>
      <c r="H19" s="8" t="s">
        <v>145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 ht="17.399999999999999" customHeight="1">
      <c r="A20" s="7">
        <v>1012</v>
      </c>
      <c r="B20" s="7" t="s">
        <v>146</v>
      </c>
      <c r="C20" s="8" t="s">
        <v>147</v>
      </c>
      <c r="D20" s="8" t="s">
        <v>148</v>
      </c>
      <c r="E20" s="8" t="s">
        <v>149</v>
      </c>
      <c r="F20" s="8" t="s">
        <v>150</v>
      </c>
      <c r="G20" s="4" t="s">
        <v>122</v>
      </c>
      <c r="H20" s="8" t="s">
        <v>151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 ht="17.399999999999999" customHeight="1">
      <c r="A21" s="7">
        <v>1013</v>
      </c>
      <c r="B21" s="7" t="s">
        <v>152</v>
      </c>
      <c r="C21" s="8" t="s">
        <v>153</v>
      </c>
      <c r="D21" s="8" t="s">
        <v>154</v>
      </c>
      <c r="E21" s="8" t="s">
        <v>155</v>
      </c>
      <c r="F21" s="8" t="s">
        <v>156</v>
      </c>
      <c r="G21" s="4" t="s">
        <v>136</v>
      </c>
      <c r="H21" s="8" t="s">
        <v>157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 ht="17.399999999999999" customHeight="1">
      <c r="A22" s="7">
        <v>1014</v>
      </c>
      <c r="B22" s="7" t="s">
        <v>158</v>
      </c>
      <c r="C22" s="8" t="s">
        <v>159</v>
      </c>
      <c r="D22" s="8" t="s">
        <v>160</v>
      </c>
      <c r="E22" s="8" t="s">
        <v>161</v>
      </c>
      <c r="F22" s="8" t="s">
        <v>162</v>
      </c>
      <c r="G22" s="4" t="s">
        <v>139</v>
      </c>
      <c r="H22" s="8" t="s">
        <v>157</v>
      </c>
      <c r="I22" s="4" t="s">
        <v>20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8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 AI</cp:lastModifiedBy>
  <dcterms:created xsi:type="dcterms:W3CDTF">2008-09-11T17:22:00Z</dcterms:created>
  <dcterms:modified xsi:type="dcterms:W3CDTF">2026-09-03T08:37:28Z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11FC9A42872F480FBFB9EA2DB73AE5B1</vt:lpwstr>
  </property>
  <property fmtid="{D5CDD505-2E9C-101B-9397-08002B2CF9AE}" pid="3" name="KSOProductBuildVer">
    <vt:lpwstr>2052-12.1.0.28032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